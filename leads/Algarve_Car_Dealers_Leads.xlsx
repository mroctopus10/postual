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garve Dealers" sheetId="1" state="visible" r:id="rId3"/>
    <sheet name="Legend &amp; Not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<sst xmlns="http://schemas.openxmlformats.org/spreadsheetml/2006/main" count="681" uniqueCount="353">
  <si>
    <t xml:space="preserve">Name</t>
  </si>
  <si>
    <t xml:space="preserve">City</t>
  </si>
  <si>
    <t xml:space="preserve">Full Address</t>
  </si>
  <si>
    <t xml:space="preserve">Phone</t>
  </si>
  <si>
    <t xml:space="preserve">Email</t>
  </si>
  <si>
    <t xml:space="preserve">Website</t>
  </si>
  <si>
    <t xml:space="preserve">Instagram Handle</t>
  </si>
  <si>
    <t xml:space="preserve">Est. Followers</t>
  </si>
  <si>
    <t xml:space="preserve">Cars in Stock</t>
  </si>
  <si>
    <t xml:space="preserve">Last Post Date</t>
  </si>
  <si>
    <t xml:space="preserve">Priority Flag</t>
  </si>
  <si>
    <t xml:space="preserve">Notes</t>
  </si>
  <si>
    <t xml:space="preserve">Stand 2Jotas</t>
  </si>
  <si>
    <t xml:space="preserve">Faro</t>
  </si>
  <si>
    <t xml:space="preserve">EN 125 – Faro</t>
  </si>
  <si>
    <t xml:space="preserve">919 792 520 / 919 672 826</t>
  </si>
  <si>
    <t xml:space="preserve">N/A</t>
  </si>
  <si>
    <t xml:space="preserve">www.stand2jotas.pt</t>
  </si>
  <si>
    <t xml:space="preserve">@stand2jotas</t>
  </si>
  <si>
    <t xml:space="preserve">~500 (verify)</t>
  </si>
  <si>
    <t xml:space="preserve">~20 (verify)</t>
  </si>
  <si>
    <t xml:space="preserve">Verify</t>
  </si>
  <si>
    <t xml:space="preserve">VERIFY</t>
  </si>
  <si>
    <t xml:space="preserve">Instagram confirmed; check follower count</t>
  </si>
  <si>
    <t xml:space="preserve">Stand Usacar</t>
  </si>
  <si>
    <t xml:space="preserve">E.N. 125 Pontes de Marchil, 8005-518 Faro</t>
  </si>
  <si>
    <t xml:space="preserve">+351 289 813 399</t>
  </si>
  <si>
    <t xml:space="preserve">usacar@iol.pt</t>
  </si>
  <si>
    <t xml:space="preserve">www.standusacar.pt</t>
  </si>
  <si>
    <t xml:space="preserve">N/A (Facebook only)</t>
  </si>
  <si>
    <t xml:space="preserve">~30 (verify)</t>
  </si>
  <si>
    <t xml:space="preserve">May overlap with excluded 'Stand Usa Car' – confirm</t>
  </si>
  <si>
    <t xml:space="preserve">Cars and Cars</t>
  </si>
  <si>
    <t xml:space="preserve">E.N. 125, Km 99, Arneiro, 8005-412 Faro</t>
  </si>
  <si>
    <t xml:space="preserve">289 803 767</t>
  </si>
  <si>
    <t xml:space="preserve">info@carsandcars.pt</t>
  </si>
  <si>
    <t xml:space="preserve">www.carsandcars.pt</t>
  </si>
  <si>
    <t xml:space="preserve">N/A (verify)</t>
  </si>
  <si>
    <t xml:space="preserve">~50 (verify)</t>
  </si>
  <si>
    <t xml:space="preserve">20+ years; multi-brand; check Instagram</t>
  </si>
  <si>
    <t xml:space="preserve">Live &amp; Car</t>
  </si>
  <si>
    <t xml:space="preserve">EN 2, Km 735, Chelote, Faro</t>
  </si>
  <si>
    <t xml:space="preserve">liveandcar.pt</t>
  </si>
  <si>
    <t xml:space="preserve">~25 (verify)</t>
  </si>
  <si>
    <t xml:space="preserve">HIGH PRIORITY</t>
  </si>
  <si>
    <t xml:space="preserve">No IG found; no email found – easy target</t>
  </si>
  <si>
    <t xml:space="preserve">Stand João Rosa</t>
  </si>
  <si>
    <t xml:space="preserve">Loulé</t>
  </si>
  <si>
    <t xml:space="preserve">Rua Cerro de Santa Catarina nº 1 Goncinha, 8100-221 Loulé</t>
  </si>
  <si>
    <t xml:space="preserve">917 811 629</t>
  </si>
  <si>
    <t xml:space="preserve">joaomlrosa@gmail.com</t>
  </si>
  <si>
    <t xml:space="preserve">www.standjoaorosa.pt</t>
  </si>
  <si>
    <t xml:space="preserve">40 years in business; no Instagram found</t>
  </si>
  <si>
    <t xml:space="preserve">A.Mestre Automóveis</t>
  </si>
  <si>
    <t xml:space="preserve">Loulé (exact address on website)</t>
  </si>
  <si>
    <t xml:space="preserve">www.amestre.pt</t>
  </si>
  <si>
    <t xml:space="preserve">Founded 2010; no phone/email in search results</t>
  </si>
  <si>
    <t xml:space="preserve">Pedro Pinto Automóveis</t>
  </si>
  <si>
    <t xml:space="preserve">EN 125 – Baceladas (junto Bomba Repsol), 8125-013 Loulé</t>
  </si>
  <si>
    <t xml:space="preserve">289 396 460</t>
  </si>
  <si>
    <t xml:space="preserve">pinto.pedro1@gmail.com</t>
  </si>
  <si>
    <t xml:space="preserve">www.pedropintoautomoveis.com</t>
  </si>
  <si>
    <t xml:space="preserve">@pedro_pinto_automoveis_</t>
  </si>
  <si>
    <t xml:space="preserve">~300 (verify)</t>
  </si>
  <si>
    <t xml:space="preserve">Instagram confirmed</t>
  </si>
  <si>
    <t xml:space="preserve">Stand JPAIXÃO</t>
  </si>
  <si>
    <t xml:space="preserve">www.jpaixao.com</t>
  </si>
  <si>
    <t xml:space="preserve">Intermediation; check Instagram &amp; email on site</t>
  </si>
  <si>
    <t xml:space="preserve">R Motors</t>
  </si>
  <si>
    <t xml:space="preserve">Loulé (Vilamoura)</t>
  </si>
  <si>
    <t xml:space="preserve">E.N. 125, Sítio do Conseguinte, Vilamoura, 8125-019 Loulé</t>
  </si>
  <si>
    <t xml:space="preserve">www.rmotors.pt</t>
  </si>
  <si>
    <t xml:space="preserve">@r.motors_</t>
  </si>
  <si>
    <t xml:space="preserve">~400 (verify)</t>
  </si>
  <si>
    <t xml:space="preserve">Instagram confirmed; get phone &amp; email from site</t>
  </si>
  <si>
    <t xml:space="preserve">Epicar Automóveis</t>
  </si>
  <si>
    <t xml:space="preserve">Loulé (Quarteira)</t>
  </si>
  <si>
    <t xml:space="preserve">EN 396, 8125-303 Quarteira, Loulé</t>
  </si>
  <si>
    <t xml:space="preserve">+351 912 914 151</t>
  </si>
  <si>
    <t xml:space="preserve">www.epicar.pt</t>
  </si>
  <si>
    <t xml:space="preserve">Sells classics &amp; vans too; no IG found</t>
  </si>
  <si>
    <t xml:space="preserve">TPV Automóveis</t>
  </si>
  <si>
    <t xml:space="preserve">Albufeira (Guia)</t>
  </si>
  <si>
    <t xml:space="preserve">Estrada Nacional 125, Guia, 8200-413 Albufeira</t>
  </si>
  <si>
    <t xml:space="preserve">+351 967 261 625</t>
  </si>
  <si>
    <t xml:space="preserve">www.tpvautomoveis.pt</t>
  </si>
  <si>
    <t xml:space="preserve">@tpv.automoveis</t>
  </si>
  <si>
    <t xml:space="preserve">~600 (verify)</t>
  </si>
  <si>
    <t xml:space="preserve">Instagram confirmed; get email from site</t>
  </si>
  <si>
    <t xml:space="preserve">Multicars</t>
  </si>
  <si>
    <t xml:space="preserve">Nacional 125 – Guia, 8200-413 Albufeira</t>
  </si>
  <si>
    <t xml:space="preserve">963 XXX XXX (verify)</t>
  </si>
  <si>
    <t xml:space="preserve">www.multicars.pt</t>
  </si>
  <si>
    <t xml:space="preserve">Phone starts 963; no email/IG in public results</t>
  </si>
  <si>
    <t xml:space="preserve">Expoguia</t>
  </si>
  <si>
    <t xml:space="preserve">E.N. 125, Parque Exposição e Vendas, Guia, 8200-413 Albufeira</t>
  </si>
  <si>
    <t xml:space="preserve">289 561 368 / 967 953 326</t>
  </si>
  <si>
    <t xml:space="preserve">expoguia@gmail.com</t>
  </si>
  <si>
    <t xml:space="preserve">www.expoguia.pt</t>
  </si>
  <si>
    <t xml:space="preserve">~40 (verify)</t>
  </si>
  <si>
    <t xml:space="preserve">Classic dealer; no Instagram found</t>
  </si>
  <si>
    <t xml:space="preserve">J. Gago Automóveis</t>
  </si>
  <si>
    <t xml:space="preserve">Rua General Humberto Delgado Nº1, 8200-417 Guia, Albufeira</t>
  </si>
  <si>
    <t xml:space="preserve">+351 289 589 573</t>
  </si>
  <si>
    <t xml:space="preserve">N/A (contact form)</t>
  </si>
  <si>
    <t xml:space="preserve">jgagoauto.pt</t>
  </si>
  <si>
    <t xml:space="preserve">@j.gagoauto</t>
  </si>
  <si>
    <t xml:space="preserve">~700 (verify)</t>
  </si>
  <si>
    <t xml:space="preserve">~35 (verify)</t>
  </si>
  <si>
    <t xml:space="preserve">Since 2000; Instagram confirmed; get email</t>
  </si>
  <si>
    <t xml:space="preserve">Oficina &amp; Stand Auto</t>
  </si>
  <si>
    <t xml:space="preserve">Albufeira</t>
  </si>
  <si>
    <t xml:space="preserve">Albufeira (exact address on website)</t>
  </si>
  <si>
    <t xml:space="preserve">www.oficinastandauto.pt</t>
  </si>
  <si>
    <t xml:space="preserve">Has workshop; no contact info in public results</t>
  </si>
  <si>
    <t xml:space="preserve">Stand PROFcar</t>
  </si>
  <si>
    <t xml:space="preserve">Poço das Canas, EN125, 8200-430 Albufeira</t>
  </si>
  <si>
    <t xml:space="preserve">www.profcar.pt</t>
  </si>
  <si>
    <t xml:space="preserve">Facebook: PROFcar4U; no IG or email found</t>
  </si>
  <si>
    <t xml:space="preserve">Dadicauto</t>
  </si>
  <si>
    <t xml:space="preserve">Portimão</t>
  </si>
  <si>
    <t xml:space="preserve">Rua Pedra 1, 8500-815 Portimão</t>
  </si>
  <si>
    <t xml:space="preserve">282 485 152 / 919 297 656</t>
  </si>
  <si>
    <t xml:space="preserve">stand@dadicauto.pt</t>
  </si>
  <si>
    <t xml:space="preserve">www.dadicauto.pt</t>
  </si>
  <si>
    <t xml:space="preserve">@dadicautopt</t>
  </si>
  <si>
    <t xml:space="preserve">~1 200 (verify)</t>
  </si>
  <si>
    <t xml:space="preserve">BOSCH certified workshop; strong presence</t>
  </si>
  <si>
    <t xml:space="preserve">SilvAuto</t>
  </si>
  <si>
    <t xml:space="preserve">R. Nova 7, 8500-056 Portimão</t>
  </si>
  <si>
    <t xml:space="preserve">+351 913 322 079</t>
  </si>
  <si>
    <t xml:space="preserve">www.silvauto.pt</t>
  </si>
  <si>
    <t xml:space="preserve">Facebook only; no IG or email found</t>
  </si>
  <si>
    <t xml:space="preserve">AutoMalata</t>
  </si>
  <si>
    <t xml:space="preserve">Rua Prof. Dr. Montalvão Marques, Lt 7, 8500-722 Portimão</t>
  </si>
  <si>
    <t xml:space="preserve">282 089 7XX (verify)</t>
  </si>
  <si>
    <t xml:space="preserve">www.automalata.pt</t>
  </si>
  <si>
    <t xml:space="preserve">Sells Tesla; Facebook: automalatacomerciodeautomoveis</t>
  </si>
  <si>
    <t xml:space="preserve">Auto Cabanitas</t>
  </si>
  <si>
    <t xml:space="preserve">Lagoa</t>
  </si>
  <si>
    <t xml:space="preserve">Sítio do Carmo, EN125, Lagoa (Algarve)</t>
  </si>
  <si>
    <t xml:space="preserve">967 011 199 / 967 853 543</t>
  </si>
  <si>
    <t xml:space="preserve">info@autocabanitas.pt</t>
  </si>
  <si>
    <t xml:space="preserve">www.autocabanitas.pt</t>
  </si>
  <si>
    <t xml:space="preserve">@autocabanitas.pt</t>
  </si>
  <si>
    <t xml:space="preserve">~800 (verify)</t>
  </si>
  <si>
    <t xml:space="preserve">Instagram confirmed; also 282 103 187</t>
  </si>
  <si>
    <t xml:space="preserve">Auto Velocidade</t>
  </si>
  <si>
    <t xml:space="preserve">E.N. 125, KM 51, Sítio Bemparece, 8400-329 Lagoa</t>
  </si>
  <si>
    <t xml:space="preserve">+351 965 673 851</t>
  </si>
  <si>
    <t xml:space="preserve">autovelocidade2024@gmail.com</t>
  </si>
  <si>
    <t xml:space="preserve">autovelocidade.pt</t>
  </si>
  <si>
    <t xml:space="preserve">Premium cars; no IG found; contact site for full email</t>
  </si>
  <si>
    <t xml:space="preserve">NextAuto</t>
  </si>
  <si>
    <t xml:space="preserve">Cruzamento 1°de Dezembro c/ Rua Infante de Sagres, 8400-000 Lagoa</t>
  </si>
  <si>
    <t xml:space="preserve">www.nextauto.pt</t>
  </si>
  <si>
    <t xml:space="preserve">No contact info in public results; visit site</t>
  </si>
  <si>
    <t xml:space="preserve">Stand Auto Xavier</t>
  </si>
  <si>
    <t xml:space="preserve">Silves</t>
  </si>
  <si>
    <t xml:space="preserve">Silves (exact address on website)</t>
  </si>
  <si>
    <t xml:space="preserve">www.autoxavier.pt</t>
  </si>
  <si>
    <t xml:space="preserve">Multi-brand; no contact info in public results</t>
  </si>
  <si>
    <t xml:space="preserve">Auto Perímetro de Tolerância</t>
  </si>
  <si>
    <t xml:space="preserve">Silves (Alcantarilha)</t>
  </si>
  <si>
    <t xml:space="preserve">R. 13 de Maio Lote 29 Loja B, 8365-049 Alcantarilha, Silves</t>
  </si>
  <si>
    <t xml:space="preserve">963 502 094</t>
  </si>
  <si>
    <t xml:space="preserve">N/A (starts with 'car...')</t>
  </si>
  <si>
    <t xml:space="preserve">www.autoperimetrodetolerancia.pt</t>
  </si>
  <si>
    <t xml:space="preserve">Also location in Portimão; email partially visible</t>
  </si>
  <si>
    <t xml:space="preserve">Stand Classe Gentil</t>
  </si>
  <si>
    <t xml:space="preserve">Tavira</t>
  </si>
  <si>
    <t xml:space="preserve">Sítio do Arroio, CxP 237-T, 8800-101 Tavira</t>
  </si>
  <si>
    <t xml:space="preserve">www.standclassegentil.pt</t>
  </si>
  <si>
    <t xml:space="preserve">Sells commercials &amp; classics too; no contact in results</t>
  </si>
  <si>
    <t xml:space="preserve">Sobre Rodas</t>
  </si>
  <si>
    <t xml:space="preserve">EN 125, Quinta do Patarinho, Tavira</t>
  </si>
  <si>
    <t xml:space="preserve">+351 918 107 152 / 939 979 194</t>
  </si>
  <si>
    <t xml:space="preserve">stand.sobrerodas@hotmail.com</t>
  </si>
  <si>
    <t xml:space="preserve">www.sobrerodastavira.pt</t>
  </si>
  <si>
    <t xml:space="preserve">@standsobrerodas</t>
  </si>
  <si>
    <t xml:space="preserve">Pereira &amp; Gago</t>
  </si>
  <si>
    <t xml:space="preserve">Tavira / Portimão</t>
  </si>
  <si>
    <t xml:space="preserve">Rua Avelino Dias Custódio Lote 2, 8800-737 Tavira | EN 124, Palheiros, 8500-331 Portimão</t>
  </si>
  <si>
    <t xml:space="preserve">+351 281 326 628 / 918 317 307</t>
  </si>
  <si>
    <t xml:space="preserve">geral@pereiraegago.pt</t>
  </si>
  <si>
    <t xml:space="preserve">pereiraegago.pt</t>
  </si>
  <si>
    <t xml:space="preserve">25 years in market; also oficina@pereiraegago.pt</t>
  </si>
  <si>
    <t xml:space="preserve">Auto Amoreira</t>
  </si>
  <si>
    <t xml:space="preserve">Olhão</t>
  </si>
  <si>
    <t xml:space="preserve">EN 125, Marim, Olhão</t>
  </si>
  <si>
    <t xml:space="preserve">917 813 692</t>
  </si>
  <si>
    <t xml:space="preserve">autoamoreira@gmail.com</t>
  </si>
  <si>
    <t xml:space="preserve">www.autoamoreira.pt</t>
  </si>
  <si>
    <t xml:space="preserve">N/A (Facebook: standautoamoreira)</t>
  </si>
  <si>
    <t xml:space="preserve">Since 1997; no Instagram found</t>
  </si>
  <si>
    <t xml:space="preserve">Martins Car</t>
  </si>
  <si>
    <t xml:space="preserve">EN 125, Arroteia, Tavira, 8800-000</t>
  </si>
  <si>
    <t xml:space="preserve">289 794 602</t>
  </si>
  <si>
    <t xml:space="preserve">www.martins-car.pt</t>
  </si>
  <si>
    <t xml:space="preserve">Address near Tavira border; no email/IG found</t>
  </si>
  <si>
    <t xml:space="preserve">JBexiga Veículos Comerciais</t>
  </si>
  <si>
    <t xml:space="preserve">EN 125, Quatrim do Sul, CxP 378H, 8700-128 Olhão</t>
  </si>
  <si>
    <t xml:space="preserve">289 715 799</t>
  </si>
  <si>
    <t xml:space="preserve">jbexiga@gmail.com</t>
  </si>
  <si>
    <t xml:space="preserve">www.jbexiga.com</t>
  </si>
  <si>
    <t xml:space="preserve">Specialises in commercials + passenger; no IG found</t>
  </si>
  <si>
    <t xml:space="preserve">StandPPCars</t>
  </si>
  <si>
    <t xml:space="preserve">EN 125, Belmonte de Baixo, CxP 729-A, 8700-173 Olhão</t>
  </si>
  <si>
    <t xml:space="preserve">standppcars.pt</t>
  </si>
  <si>
    <t xml:space="preserve">Sister to StandPPAuto (same address); verify</t>
  </si>
  <si>
    <t xml:space="preserve">Auto Vasco da Gama</t>
  </si>
  <si>
    <t xml:space="preserve">Lagos</t>
  </si>
  <si>
    <t xml:space="preserve">Ponte do Molião, 8600-318 Lagos</t>
  </si>
  <si>
    <t xml:space="preserve">913 340 207 / 282 762 439</t>
  </si>
  <si>
    <t xml:space="preserve">stand.drg@autovascodagama.pt</t>
  </si>
  <si>
    <t xml:space="preserve">www.autovascodagama.pt</t>
  </si>
  <si>
    <t xml:space="preserve">@autovascodagama</t>
  </si>
  <si>
    <t xml:space="preserve">~900 (verify)</t>
  </si>
  <si>
    <t xml:space="preserve">Also workshop; Instagram confirmed</t>
  </si>
  <si>
    <t xml:space="preserve">Stand Asa Delta</t>
  </si>
  <si>
    <t xml:space="preserve">Lagos (Odiáxere)</t>
  </si>
  <si>
    <t xml:space="preserve">EN 125, Vale de Coitos, Odiáxere, 8600-250 Lagos</t>
  </si>
  <si>
    <t xml:space="preserve">282 768 017</t>
  </si>
  <si>
    <t xml:space="preserve">standasadelta@iol.pt</t>
  </si>
  <si>
    <t xml:space="preserve">www.standasadelta.com</t>
  </si>
  <si>
    <t xml:space="preserve">Sells cars, motos, caravans, boats; no IG found</t>
  </si>
  <si>
    <t xml:space="preserve">V4 Garage Faro</t>
  </si>
  <si>
    <t xml:space="preserve">Faro (exact address – verify on Google Maps)</t>
  </si>
  <si>
    <t xml:space="preserve">@v4garagefaro</t>
  </si>
  <si>
    <t xml:space="preserve">~15 (verify)</t>
  </si>
  <si>
    <t xml:space="preserve">Instagram confirmed; get phone/email from profile bio</t>
  </si>
  <si>
    <t xml:space="preserve">TAutomóveis</t>
  </si>
  <si>
    <t xml:space="preserve">Faro (exact address on website)</t>
  </si>
  <si>
    <t xml:space="preserve">tautomoveis.pt</t>
  </si>
  <si>
    <t xml:space="preserve">No IG or phone found in public results; visit site</t>
  </si>
  <si>
    <t xml:space="preserve">CS Automóveis</t>
  </si>
  <si>
    <t xml:space="preserve">cs-automoveis.pt</t>
  </si>
  <si>
    <t xml:space="preserve">Mobilesport2</t>
  </si>
  <si>
    <t xml:space="preserve">Quarteira, 8125-000 Loulé</t>
  </si>
  <si>
    <t xml:space="preserve">mobilesport2.com</t>
  </si>
  <si>
    <t xml:space="preserve">@mobilesport2</t>
  </si>
  <si>
    <t xml:space="preserve">Instagram confirmed; verify phone &amp; email from site</t>
  </si>
  <si>
    <t xml:space="preserve">Platinum Auto Sales</t>
  </si>
  <si>
    <t xml:space="preserve">Loulé (Almancil)</t>
  </si>
  <si>
    <t xml:space="preserve">Almancil, 8135-000 Loulé</t>
  </si>
  <si>
    <t xml:space="preserve">+351 289 358 921</t>
  </si>
  <si>
    <t xml:space="preserve">platinumauto.eu</t>
  </si>
  <si>
    <t xml:space="preserve">@platinumautoeu</t>
  </si>
  <si>
    <t xml:space="preserve">Stand Sérgio Cristina</t>
  </si>
  <si>
    <t xml:space="preserve">Rua Nacional 125, São Lourenço, 8135-000 Almancil</t>
  </si>
  <si>
    <t xml:space="preserve">+351 911 058 109</t>
  </si>
  <si>
    <t xml:space="preserve">geral@standcristina.pt</t>
  </si>
  <si>
    <t xml:space="preserve">standcristina.pt</t>
  </si>
  <si>
    <t xml:space="preserve">@standsergiocristina</t>
  </si>
  <si>
    <t xml:space="preserve">~350 (verify)</t>
  </si>
  <si>
    <t xml:space="preserve">Instagram &amp; email confirmed; well-established stand</t>
  </si>
  <si>
    <t xml:space="preserve">Belouracar</t>
  </si>
  <si>
    <t xml:space="preserve">N125, Rotunda Boliqueime–Vilamoura (junto CIV), 8125-000 Loulé</t>
  </si>
  <si>
    <t xml:space="preserve">+351 289 366 906 / 913 519 666</t>
  </si>
  <si>
    <t xml:space="preserve">geralalgarve@belouracar.com</t>
  </si>
  <si>
    <t xml:space="preserve">belouracar.com</t>
  </si>
  <si>
    <t xml:space="preserve">@belouracar</t>
  </si>
  <si>
    <t xml:space="preserve">~1 000 (verify)</t>
  </si>
  <si>
    <t xml:space="preserve">IG confirmed; registered on Standvirtual since 2009</t>
  </si>
  <si>
    <t xml:space="preserve">Trocas Automóveis Algarve</t>
  </si>
  <si>
    <t xml:space="preserve">Albufeira (verify exact address)</t>
  </si>
  <si>
    <t xml:space="preserve">912 558 948 / 967 920 XXX (verify)</t>
  </si>
  <si>
    <t xml:space="preserve">trocasautomoveis.algarve@gmail.com</t>
  </si>
  <si>
    <t xml:space="preserve">@trocasautomoveis</t>
  </si>
  <si>
    <t xml:space="preserve">Instagram &amp; Gmail confirmed; verify second phone</t>
  </si>
  <si>
    <t xml:space="preserve">StarAuto</t>
  </si>
  <si>
    <t xml:space="preserve">Guia, 8200-413 Albufeira</t>
  </si>
  <si>
    <t xml:space="preserve">+351 925 233 180</t>
  </si>
  <si>
    <t xml:space="preserve">starauto@outlook.pt</t>
  </si>
  <si>
    <t xml:space="preserve">starauto.pt</t>
  </si>
  <si>
    <t xml:space="preserve">Email &amp; phone confirmed; no IG found</t>
  </si>
  <si>
    <t xml:space="preserve">Carz.pt</t>
  </si>
  <si>
    <t xml:space="preserve">info@carz.pt</t>
  </si>
  <si>
    <t xml:space="preserve">carz.pt</t>
  </si>
  <si>
    <t xml:space="preserve">Email confirmed; no phone/IG in public results</t>
  </si>
  <si>
    <t xml:space="preserve">Manobra Máxima</t>
  </si>
  <si>
    <t xml:space="preserve">289 516 860 / 962 353 394</t>
  </si>
  <si>
    <t xml:space="preserve">manobramaxima@gmail.com</t>
  </si>
  <si>
    <t xml:space="preserve">manobramaxima.com</t>
  </si>
  <si>
    <t xml:space="preserve">Phone &amp; email confirmed; no IG found</t>
  </si>
  <si>
    <t xml:space="preserve">RS Car Project</t>
  </si>
  <si>
    <t xml:space="preserve">Estr. dos Brejos 730Y, 8200-291 Albufeira</t>
  </si>
  <si>
    <t xml:space="preserve">rscarproject.pt</t>
  </si>
  <si>
    <t xml:space="preserve">N/A (verify; FB: rscarproject.pt)</t>
  </si>
  <si>
    <t xml:space="preserve">Facebook confirmed; on Carmine.pt; no IG or email found</t>
  </si>
  <si>
    <t xml:space="preserve">Auto D'Henrique</t>
  </si>
  <si>
    <t xml:space="preserve">Rua dos Lusíadas, Ed. Gémeos Torre B Loja A, 8500-652 Portimão</t>
  </si>
  <si>
    <t xml:space="preserve">+351 282 484 403 / 917 210 172</t>
  </si>
  <si>
    <t xml:space="preserve">auto.dhenrique@sapo.pt</t>
  </si>
  <si>
    <t xml:space="preserve">autodhenrique.com</t>
  </si>
  <si>
    <t xml:space="preserve">Phone &amp; email confirmed; also henriqueautosport.pt (same owner); no IG</t>
  </si>
  <si>
    <t xml:space="preserve">Radical Margem</t>
  </si>
  <si>
    <t xml:space="preserve">EN 125, Sítio de São Pedro, 8800-252 Tavira</t>
  </si>
  <si>
    <t xml:space="preserve">281 324 506</t>
  </si>
  <si>
    <t xml:space="preserve">radicalmargem.pt</t>
  </si>
  <si>
    <t xml:space="preserve">@radicalmargem</t>
  </si>
  <si>
    <t xml:space="preserve">~250 (verify)</t>
  </si>
  <si>
    <t xml:space="preserve">Instagram confirmed; verify email on website</t>
  </si>
  <si>
    <t xml:space="preserve">Stand JG Car</t>
  </si>
  <si>
    <t xml:space="preserve">Olhão (exact address on website)</t>
  </si>
  <si>
    <t xml:space="preserve">+351 919 932 927</t>
  </si>
  <si>
    <t xml:space="preserve">jgcar@sapo.pt</t>
  </si>
  <si>
    <t xml:space="preserve">standjgcar.pt</t>
  </si>
  <si>
    <t xml:space="preserve">Garbecar</t>
  </si>
  <si>
    <t xml:space="preserve">Olhão (Quelfes)</t>
  </si>
  <si>
    <t xml:space="preserve">Zona Industrial Lote 152, Quelfes, 8700-000 Olhão</t>
  </si>
  <si>
    <t xml:space="preserve">289 710 620</t>
  </si>
  <si>
    <t xml:space="preserve">Phone from Portugalia.com; no web/IG found – cold call priority</t>
  </si>
  <si>
    <t xml:space="preserve">Irmãos Ladeira</t>
  </si>
  <si>
    <t xml:space="preserve">E.N. 125 Brancanes, Quelfes, 8700-000 Olhão</t>
  </si>
  <si>
    <t xml:space="preserve">289 721 063</t>
  </si>
  <si>
    <t xml:space="preserve">Phone from Portugalia.com; comércio de automóveis Lda; cold call priority</t>
  </si>
  <si>
    <t xml:space="preserve">Erico Freitas</t>
  </si>
  <si>
    <t xml:space="preserve">Lagos (address on Carmine.pt – verify)</t>
  </si>
  <si>
    <t xml:space="preserve">Listed on Carmine.pt; minimal online presence – high priority</t>
  </si>
  <si>
    <t xml:space="preserve">Virgílio Inglês Automóveis</t>
  </si>
  <si>
    <t xml:space="preserve">Olhão (Fuseta)</t>
  </si>
  <si>
    <t xml:space="preserve">Fuseta, 8700-000 Olhão</t>
  </si>
  <si>
    <t xml:space="preserve">289 794 716</t>
  </si>
  <si>
    <t xml:space="preserve">~10 (verify)</t>
  </si>
  <si>
    <t xml:space="preserve">Phone from Portugalia.com; very small/local stand – cold call priority</t>
  </si>
  <si>
    <t xml:space="preserve">Paulo J. Ferreira Alves Automóveis</t>
  </si>
  <si>
    <t xml:space="preserve">Olhão (Moncarapacho)</t>
  </si>
  <si>
    <t xml:space="preserve">Rua Prior Simas 8, Loja A, Moncarapacho, 8700-000 Olhão</t>
  </si>
  <si>
    <t xml:space="preserve">289 791 235</t>
  </si>
  <si>
    <t xml:space="preserve">LEGEND</t>
  </si>
  <si>
    <t xml:space="preserve">HIGH PRIORITY (red)</t>
  </si>
  <si>
    <t xml:space="preserve">Instagram &lt; 500 followers OR last post &gt; 30 days ago — best targets</t>
  </si>
  <si>
    <t xml:space="preserve">VERIFY (no highlight)</t>
  </si>
  <si>
    <t xml:space="preserve">Instagram exists but follower/date data needs manual verification</t>
  </si>
  <si>
    <t xml:space="preserve">NOTES</t>
  </si>
  <si>
    <t xml:space="preserve">Exclusion list applied:</t>
  </si>
  <si>
    <t xml:space="preserve">RB Cars, Stand Usa Car, Motors Group, AlgarAuto, Auto Imperial,</t>
  </si>
  <si>
    <t xml:space="preserve">FIAAL Approved, TCars, Carias Car, Auto Almeida, RVCars, RT Cars,</t>
  </si>
  <si>
    <t xml:space="preserve">Rota Limite, Autoshow, Auto Map, Inevitable Cars, Boutique Magalhães, MSCAR, JC Auto Barato</t>
  </si>
  <si>
    <t xml:space="preserve">Data collected:</t>
  </si>
  <si>
    <t xml:space="preserve">March 2026 – via web searches (Carmine.pt, Standvirtual, dealer sites, Instagram)</t>
  </si>
  <si>
    <t xml:space="preserve">ACTION:</t>
  </si>
  <si>
    <t xml:space="preserve">For each HIGH PRIORITY dealer: send a personalised outreach email about AI agent services</t>
  </si>
  <si>
    <t xml:space="preserve">Leads without email → send DM via Instagram or call directly</t>
  </si>
  <si>
    <t xml:space="preserve">Next steps:</t>
  </si>
  <si>
    <t xml:space="preserve">1. Verify all phone numbers and emails by calling or checking websites</t>
  </si>
  <si>
    <t xml:space="preserve">2. Check Instagram profiles manually for follower counts and last post dates</t>
  </si>
  <si>
    <t xml:space="preserve">3. Verify stock counts on each dealer website</t>
  </si>
  <si>
    <t xml:space="preserve">4. Update Priority Flag based on verified Instagram data</t>
  </si>
  <si>
    <t xml:space="preserve">Total Dealers Found</t>
  </si>
  <si>
    <t xml:space="preserve">HIGH PRIORITY Targets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</si>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</sst>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FFD7D7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4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6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36" hidden="false" customHeight="true" outlineLevel="0" collapsed="false">
      <c r="A3" s="3" t="s">
        <v>24</v>
      </c>
      <c r="B3" s="3" t="s">
        <v>13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16</v>
      </c>
      <c r="I3" s="3" t="s">
        <v>30</v>
      </c>
      <c r="J3" s="3" t="s">
        <v>16</v>
      </c>
      <c r="K3" s="3" t="s">
        <v>22</v>
      </c>
      <c r="L3" s="3" t="s">
        <v>31</v>
      </c>
    </row>
    <row r="4" customFormat="false" ht="36" hidden="false" customHeight="true" outlineLevel="0" collapsed="false">
      <c r="A4" s="2" t="s">
        <v>32</v>
      </c>
      <c r="B4" s="2" t="s">
        <v>13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16</v>
      </c>
      <c r="I4" s="2" t="s">
        <v>38</v>
      </c>
      <c r="J4" s="2" t="s">
        <v>16</v>
      </c>
      <c r="K4" s="2" t="s">
        <v>22</v>
      </c>
      <c r="L4" s="2" t="s">
        <v>39</v>
      </c>
    </row>
    <row r="5" customFormat="false" ht="36" hidden="false" customHeight="true" outlineLevel="0" collapsed="false">
      <c r="A5" s="4" t="s">
        <v>40</v>
      </c>
      <c r="B5" s="4" t="s">
        <v>13</v>
      </c>
      <c r="C5" s="4" t="s">
        <v>41</v>
      </c>
      <c r="D5" s="4" t="s">
        <v>16</v>
      </c>
      <c r="E5" s="4" t="s">
        <v>16</v>
      </c>
      <c r="F5" s="4" t="s">
        <v>42</v>
      </c>
      <c r="G5" s="4" t="s">
        <v>37</v>
      </c>
      <c r="H5" s="4" t="s">
        <v>16</v>
      </c>
      <c r="I5" s="4" t="s">
        <v>43</v>
      </c>
      <c r="J5" s="4" t="s">
        <v>16</v>
      </c>
      <c r="K5" s="5" t="s">
        <v>44</v>
      </c>
      <c r="L5" s="4" t="s">
        <v>45</v>
      </c>
    </row>
    <row r="6" customFormat="false" ht="36" hidden="false" customHeight="true" outlineLevel="0" collapsed="false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29</v>
      </c>
      <c r="H6" s="4" t="s">
        <v>16</v>
      </c>
      <c r="I6" s="4" t="s">
        <v>20</v>
      </c>
      <c r="J6" s="4" t="s">
        <v>16</v>
      </c>
      <c r="K6" s="5" t="s">
        <v>44</v>
      </c>
      <c r="L6" s="4" t="s">
        <v>52</v>
      </c>
    </row>
    <row r="7" customFormat="false" ht="36" hidden="false" customHeight="true" outlineLevel="0" collapsed="false">
      <c r="A7" s="4" t="s">
        <v>53</v>
      </c>
      <c r="B7" s="4" t="s">
        <v>47</v>
      </c>
      <c r="C7" s="4" t="s">
        <v>54</v>
      </c>
      <c r="D7" s="4" t="s">
        <v>16</v>
      </c>
      <c r="E7" s="4" t="s">
        <v>16</v>
      </c>
      <c r="F7" s="4" t="s">
        <v>55</v>
      </c>
      <c r="G7" s="4" t="s">
        <v>37</v>
      </c>
      <c r="H7" s="4" t="s">
        <v>16</v>
      </c>
      <c r="I7" s="4" t="s">
        <v>30</v>
      </c>
      <c r="J7" s="4" t="s">
        <v>16</v>
      </c>
      <c r="K7" s="5" t="s">
        <v>44</v>
      </c>
      <c r="L7" s="4" t="s">
        <v>56</v>
      </c>
    </row>
    <row r="8" customFormat="false" ht="36" hidden="false" customHeight="true" outlineLevel="0" collapsed="false">
      <c r="A8" s="2" t="s">
        <v>57</v>
      </c>
      <c r="B8" s="2" t="s">
        <v>47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43</v>
      </c>
      <c r="J8" s="2" t="s">
        <v>21</v>
      </c>
      <c r="K8" s="2" t="s">
        <v>22</v>
      </c>
      <c r="L8" s="2" t="s">
        <v>64</v>
      </c>
    </row>
    <row r="9" customFormat="false" ht="36" hidden="false" customHeight="true" outlineLevel="0" collapsed="false">
      <c r="A9" s="4" t="s">
        <v>65</v>
      </c>
      <c r="B9" s="4" t="s">
        <v>47</v>
      </c>
      <c r="C9" s="4" t="s">
        <v>54</v>
      </c>
      <c r="D9" s="4" t="s">
        <v>16</v>
      </c>
      <c r="E9" s="4" t="s">
        <v>16</v>
      </c>
      <c r="F9" s="4" t="s">
        <v>66</v>
      </c>
      <c r="G9" s="4" t="s">
        <v>37</v>
      </c>
      <c r="H9" s="4" t="s">
        <v>16</v>
      </c>
      <c r="I9" s="4" t="s">
        <v>30</v>
      </c>
      <c r="J9" s="4" t="s">
        <v>16</v>
      </c>
      <c r="K9" s="5" t="s">
        <v>44</v>
      </c>
      <c r="L9" s="4" t="s">
        <v>67</v>
      </c>
    </row>
    <row r="10" customFormat="false" ht="36" hidden="false" customHeight="true" outlineLevel="0" collapsed="false">
      <c r="A10" s="2" t="s">
        <v>68</v>
      </c>
      <c r="B10" s="2" t="s">
        <v>69</v>
      </c>
      <c r="C10" s="2" t="s">
        <v>70</v>
      </c>
      <c r="D10" s="2" t="s">
        <v>16</v>
      </c>
      <c r="E10" s="2" t="s">
        <v>16</v>
      </c>
      <c r="F10" s="2" t="s">
        <v>71</v>
      </c>
      <c r="G10" s="2" t="s">
        <v>72</v>
      </c>
      <c r="H10" s="2" t="s">
        <v>73</v>
      </c>
      <c r="I10" s="2" t="s">
        <v>20</v>
      </c>
      <c r="J10" s="2" t="s">
        <v>21</v>
      </c>
      <c r="K10" s="2" t="s">
        <v>22</v>
      </c>
      <c r="L10" s="2" t="s">
        <v>74</v>
      </c>
    </row>
    <row r="11" customFormat="false" ht="36" hidden="false" customHeight="true" outlineLevel="0" collapsed="false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16</v>
      </c>
      <c r="F11" s="4" t="s">
        <v>79</v>
      </c>
      <c r="G11" s="4" t="s">
        <v>37</v>
      </c>
      <c r="H11" s="4" t="s">
        <v>16</v>
      </c>
      <c r="I11" s="4" t="s">
        <v>43</v>
      </c>
      <c r="J11" s="4" t="s">
        <v>16</v>
      </c>
      <c r="K11" s="5" t="s">
        <v>44</v>
      </c>
      <c r="L11" s="4" t="s">
        <v>80</v>
      </c>
    </row>
    <row r="12" customFormat="false" ht="36" hidden="false" customHeight="true" outlineLevel="0" collapsed="false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16</v>
      </c>
      <c r="F12" s="2" t="s">
        <v>85</v>
      </c>
      <c r="G12" s="2" t="s">
        <v>86</v>
      </c>
      <c r="H12" s="2" t="s">
        <v>87</v>
      </c>
      <c r="I12" s="2" t="s">
        <v>30</v>
      </c>
      <c r="J12" s="2" t="s">
        <v>21</v>
      </c>
      <c r="K12" s="2" t="s">
        <v>22</v>
      </c>
      <c r="L12" s="2" t="s">
        <v>88</v>
      </c>
    </row>
    <row r="13" customFormat="false" ht="36" hidden="false" customHeight="true" outlineLevel="0" collapsed="false">
      <c r="A13" s="4" t="s">
        <v>89</v>
      </c>
      <c r="B13" s="4" t="s">
        <v>82</v>
      </c>
      <c r="C13" s="4" t="s">
        <v>90</v>
      </c>
      <c r="D13" s="4" t="s">
        <v>91</v>
      </c>
      <c r="E13" s="4" t="s">
        <v>16</v>
      </c>
      <c r="F13" s="4" t="s">
        <v>92</v>
      </c>
      <c r="G13" s="4" t="s">
        <v>37</v>
      </c>
      <c r="H13" s="4" t="s">
        <v>16</v>
      </c>
      <c r="I13" s="4" t="s">
        <v>30</v>
      </c>
      <c r="J13" s="4" t="s">
        <v>16</v>
      </c>
      <c r="K13" s="5" t="s">
        <v>44</v>
      </c>
      <c r="L13" s="4" t="s">
        <v>93</v>
      </c>
    </row>
    <row r="14" customFormat="false" ht="36" hidden="false" customHeight="true" outlineLevel="0" collapsed="false">
      <c r="A14" s="4" t="s">
        <v>94</v>
      </c>
      <c r="B14" s="4" t="s">
        <v>82</v>
      </c>
      <c r="C14" s="4" t="s">
        <v>95</v>
      </c>
      <c r="D14" s="4" t="s">
        <v>96</v>
      </c>
      <c r="E14" s="4" t="s">
        <v>97</v>
      </c>
      <c r="F14" s="4" t="s">
        <v>98</v>
      </c>
      <c r="G14" s="4" t="s">
        <v>37</v>
      </c>
      <c r="H14" s="4" t="s">
        <v>16</v>
      </c>
      <c r="I14" s="4" t="s">
        <v>99</v>
      </c>
      <c r="J14" s="4" t="s">
        <v>16</v>
      </c>
      <c r="K14" s="5" t="s">
        <v>44</v>
      </c>
      <c r="L14" s="4" t="s">
        <v>100</v>
      </c>
    </row>
    <row r="15" customFormat="false" ht="36" hidden="false" customHeight="true" outlineLevel="0" collapsed="false">
      <c r="A15" s="3" t="s">
        <v>101</v>
      </c>
      <c r="B15" s="3" t="s">
        <v>82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I15" s="3" t="s">
        <v>108</v>
      </c>
      <c r="J15" s="3" t="s">
        <v>21</v>
      </c>
      <c r="K15" s="3" t="s">
        <v>22</v>
      </c>
      <c r="L15" s="3" t="s">
        <v>109</v>
      </c>
    </row>
    <row r="16" customFormat="false" ht="36" hidden="false" customHeight="true" outlineLevel="0" collapsed="false">
      <c r="A16" s="4" t="s">
        <v>110</v>
      </c>
      <c r="B16" s="4" t="s">
        <v>111</v>
      </c>
      <c r="C16" s="4" t="s">
        <v>112</v>
      </c>
      <c r="D16" s="4" t="s">
        <v>16</v>
      </c>
      <c r="E16" s="4" t="s">
        <v>16</v>
      </c>
      <c r="F16" s="4" t="s">
        <v>113</v>
      </c>
      <c r="G16" s="4" t="s">
        <v>37</v>
      </c>
      <c r="H16" s="4" t="s">
        <v>16</v>
      </c>
      <c r="I16" s="4" t="s">
        <v>20</v>
      </c>
      <c r="J16" s="4" t="s">
        <v>16</v>
      </c>
      <c r="K16" s="5" t="s">
        <v>44</v>
      </c>
      <c r="L16" s="4" t="s">
        <v>114</v>
      </c>
    </row>
    <row r="17" customFormat="false" ht="36" hidden="false" customHeight="true" outlineLevel="0" collapsed="false">
      <c r="A17" s="4" t="s">
        <v>115</v>
      </c>
      <c r="B17" s="4" t="s">
        <v>111</v>
      </c>
      <c r="C17" s="4" t="s">
        <v>116</v>
      </c>
      <c r="D17" s="4" t="s">
        <v>16</v>
      </c>
      <c r="E17" s="4" t="s">
        <v>16</v>
      </c>
      <c r="F17" s="4" t="s">
        <v>117</v>
      </c>
      <c r="G17" s="4" t="s">
        <v>37</v>
      </c>
      <c r="H17" s="4" t="s">
        <v>16</v>
      </c>
      <c r="I17" s="4" t="s">
        <v>20</v>
      </c>
      <c r="J17" s="4" t="s">
        <v>16</v>
      </c>
      <c r="K17" s="5" t="s">
        <v>44</v>
      </c>
      <c r="L17" s="4" t="s">
        <v>118</v>
      </c>
    </row>
    <row r="18" customFormat="false" ht="36" hidden="false" customHeight="true" outlineLevel="0" collapsed="false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126</v>
      </c>
      <c r="I18" s="2" t="s">
        <v>38</v>
      </c>
      <c r="J18" s="2" t="s">
        <v>21</v>
      </c>
      <c r="K18" s="2" t="s">
        <v>22</v>
      </c>
      <c r="L18" s="2" t="s">
        <v>127</v>
      </c>
    </row>
    <row r="19" customFormat="false" ht="36" hidden="false" customHeight="true" outlineLevel="0" collapsed="false">
      <c r="A19" s="4" t="s">
        <v>128</v>
      </c>
      <c r="B19" s="4" t="s">
        <v>120</v>
      </c>
      <c r="C19" s="4" t="s">
        <v>129</v>
      </c>
      <c r="D19" s="4" t="s">
        <v>130</v>
      </c>
      <c r="E19" s="4" t="s">
        <v>16</v>
      </c>
      <c r="F19" s="4" t="s">
        <v>131</v>
      </c>
      <c r="G19" s="4" t="s">
        <v>37</v>
      </c>
      <c r="H19" s="4" t="s">
        <v>16</v>
      </c>
      <c r="I19" s="4" t="s">
        <v>43</v>
      </c>
      <c r="J19" s="4" t="s">
        <v>16</v>
      </c>
      <c r="K19" s="5" t="s">
        <v>44</v>
      </c>
      <c r="L19" s="4" t="s">
        <v>132</v>
      </c>
    </row>
    <row r="20" customFormat="false" ht="36" hidden="false" customHeight="true" outlineLevel="0" collapsed="false">
      <c r="A20" s="4" t="s">
        <v>133</v>
      </c>
      <c r="B20" s="4" t="s">
        <v>120</v>
      </c>
      <c r="C20" s="4" t="s">
        <v>134</v>
      </c>
      <c r="D20" s="4" t="s">
        <v>135</v>
      </c>
      <c r="E20" s="4" t="s">
        <v>16</v>
      </c>
      <c r="F20" s="4" t="s">
        <v>136</v>
      </c>
      <c r="G20" s="4" t="s">
        <v>37</v>
      </c>
      <c r="H20" s="4" t="s">
        <v>16</v>
      </c>
      <c r="I20" s="4" t="s">
        <v>20</v>
      </c>
      <c r="J20" s="4" t="s">
        <v>16</v>
      </c>
      <c r="K20" s="5" t="s">
        <v>44</v>
      </c>
      <c r="L20" s="4" t="s">
        <v>137</v>
      </c>
    </row>
    <row r="21" customFormat="false" ht="36" hidden="false" customHeight="true" outlineLevel="0" collapsed="false">
      <c r="A21" s="3" t="s">
        <v>138</v>
      </c>
      <c r="B21" s="3" t="s">
        <v>139</v>
      </c>
      <c r="C21" s="3" t="s">
        <v>140</v>
      </c>
      <c r="D21" s="3" t="s">
        <v>141</v>
      </c>
      <c r="E21" s="3" t="s">
        <v>142</v>
      </c>
      <c r="F21" s="3" t="s">
        <v>143</v>
      </c>
      <c r="G21" s="3" t="s">
        <v>144</v>
      </c>
      <c r="H21" s="3" t="s">
        <v>145</v>
      </c>
      <c r="I21" s="3" t="s">
        <v>30</v>
      </c>
      <c r="J21" s="3" t="s">
        <v>21</v>
      </c>
      <c r="K21" s="3" t="s">
        <v>22</v>
      </c>
      <c r="L21" s="3" t="s">
        <v>146</v>
      </c>
    </row>
    <row r="22" customFormat="false" ht="36" hidden="false" customHeight="true" outlineLevel="0" collapsed="false">
      <c r="A22" s="4" t="s">
        <v>147</v>
      </c>
      <c r="B22" s="4" t="s">
        <v>139</v>
      </c>
      <c r="C22" s="4" t="s">
        <v>148</v>
      </c>
      <c r="D22" s="4" t="s">
        <v>149</v>
      </c>
      <c r="E22" s="4" t="s">
        <v>150</v>
      </c>
      <c r="F22" s="4" t="s">
        <v>151</v>
      </c>
      <c r="G22" s="4" t="s">
        <v>37</v>
      </c>
      <c r="H22" s="4" t="s">
        <v>16</v>
      </c>
      <c r="I22" s="4" t="s">
        <v>43</v>
      </c>
      <c r="J22" s="4" t="s">
        <v>16</v>
      </c>
      <c r="K22" s="5" t="s">
        <v>44</v>
      </c>
      <c r="L22" s="4" t="s">
        <v>152</v>
      </c>
    </row>
    <row r="23" customFormat="false" ht="36" hidden="false" customHeight="true" outlineLevel="0" collapsed="false">
      <c r="A23" s="4" t="s">
        <v>153</v>
      </c>
      <c r="B23" s="4" t="s">
        <v>139</v>
      </c>
      <c r="C23" s="4" t="s">
        <v>154</v>
      </c>
      <c r="D23" s="4" t="s">
        <v>16</v>
      </c>
      <c r="E23" s="4" t="s">
        <v>16</v>
      </c>
      <c r="F23" s="4" t="s">
        <v>155</v>
      </c>
      <c r="G23" s="4" t="s">
        <v>37</v>
      </c>
      <c r="H23" s="4" t="s">
        <v>16</v>
      </c>
      <c r="I23" s="4" t="s">
        <v>20</v>
      </c>
      <c r="J23" s="4" t="s">
        <v>16</v>
      </c>
      <c r="K23" s="5" t="s">
        <v>44</v>
      </c>
      <c r="L23" s="4" t="s">
        <v>156</v>
      </c>
    </row>
    <row r="24" customFormat="false" ht="36" hidden="false" customHeight="true" outlineLevel="0" collapsed="false">
      <c r="A24" s="4" t="s">
        <v>157</v>
      </c>
      <c r="B24" s="4" t="s">
        <v>158</v>
      </c>
      <c r="C24" s="4" t="s">
        <v>159</v>
      </c>
      <c r="D24" s="4" t="s">
        <v>16</v>
      </c>
      <c r="E24" s="4" t="s">
        <v>16</v>
      </c>
      <c r="F24" s="4" t="s">
        <v>160</v>
      </c>
      <c r="G24" s="4" t="s">
        <v>37</v>
      </c>
      <c r="H24" s="4" t="s">
        <v>16</v>
      </c>
      <c r="I24" s="4" t="s">
        <v>20</v>
      </c>
      <c r="J24" s="4" t="s">
        <v>16</v>
      </c>
      <c r="K24" s="5" t="s">
        <v>44</v>
      </c>
      <c r="L24" s="4" t="s">
        <v>161</v>
      </c>
    </row>
    <row r="25" customFormat="false" ht="36" hidden="false" customHeight="true" outlineLevel="0" collapsed="false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37</v>
      </c>
      <c r="H25" s="4" t="s">
        <v>16</v>
      </c>
      <c r="I25" s="4" t="s">
        <v>20</v>
      </c>
      <c r="J25" s="4" t="s">
        <v>16</v>
      </c>
      <c r="K25" s="5" t="s">
        <v>44</v>
      </c>
      <c r="L25" s="4" t="s">
        <v>168</v>
      </c>
    </row>
    <row r="26" customFormat="false" ht="36" hidden="false" customHeight="true" outlineLevel="0" collapsed="false">
      <c r="A26" s="4" t="s">
        <v>169</v>
      </c>
      <c r="B26" s="4" t="s">
        <v>170</v>
      </c>
      <c r="C26" s="4" t="s">
        <v>171</v>
      </c>
      <c r="D26" s="4" t="s">
        <v>16</v>
      </c>
      <c r="E26" s="4" t="s">
        <v>16</v>
      </c>
      <c r="F26" s="4" t="s">
        <v>172</v>
      </c>
      <c r="G26" s="4" t="s">
        <v>37</v>
      </c>
      <c r="H26" s="4" t="s">
        <v>16</v>
      </c>
      <c r="I26" s="4" t="s">
        <v>20</v>
      </c>
      <c r="J26" s="4" t="s">
        <v>16</v>
      </c>
      <c r="K26" s="5" t="s">
        <v>44</v>
      </c>
      <c r="L26" s="4" t="s">
        <v>173</v>
      </c>
    </row>
    <row r="27" customFormat="false" ht="36" hidden="false" customHeight="true" outlineLevel="0" collapsed="false">
      <c r="A27" s="3" t="s">
        <v>174</v>
      </c>
      <c r="B27" s="3" t="s">
        <v>170</v>
      </c>
      <c r="C27" s="3" t="s">
        <v>175</v>
      </c>
      <c r="D27" s="3" t="s">
        <v>176</v>
      </c>
      <c r="E27" s="3" t="s">
        <v>177</v>
      </c>
      <c r="F27" s="3" t="s">
        <v>178</v>
      </c>
      <c r="G27" s="3" t="s">
        <v>179</v>
      </c>
      <c r="H27" s="3" t="s">
        <v>73</v>
      </c>
      <c r="I27" s="3" t="s">
        <v>43</v>
      </c>
      <c r="J27" s="3" t="s">
        <v>21</v>
      </c>
      <c r="K27" s="3" t="s">
        <v>22</v>
      </c>
      <c r="L27" s="3" t="s">
        <v>64</v>
      </c>
    </row>
    <row r="28" customFormat="false" ht="36" hidden="false" customHeight="true" outlineLevel="0" collapsed="false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4" t="s">
        <v>37</v>
      </c>
      <c r="H28" s="4" t="s">
        <v>16</v>
      </c>
      <c r="I28" s="4" t="s">
        <v>30</v>
      </c>
      <c r="J28" s="4" t="s">
        <v>16</v>
      </c>
      <c r="K28" s="5" t="s">
        <v>44</v>
      </c>
      <c r="L28" s="4" t="s">
        <v>186</v>
      </c>
    </row>
    <row r="29" customFormat="false" ht="36" hidden="false" customHeight="true" outlineLevel="0" collapsed="false">
      <c r="A29" s="4" t="s">
        <v>187</v>
      </c>
      <c r="B29" s="4" t="s">
        <v>188</v>
      </c>
      <c r="C29" s="4" t="s">
        <v>189</v>
      </c>
      <c r="D29" s="4" t="s">
        <v>190</v>
      </c>
      <c r="E29" s="4" t="s">
        <v>191</v>
      </c>
      <c r="F29" s="4" t="s">
        <v>192</v>
      </c>
      <c r="G29" s="4" t="s">
        <v>193</v>
      </c>
      <c r="H29" s="4" t="s">
        <v>16</v>
      </c>
      <c r="I29" s="4" t="s">
        <v>30</v>
      </c>
      <c r="J29" s="4" t="s">
        <v>16</v>
      </c>
      <c r="K29" s="5" t="s">
        <v>44</v>
      </c>
      <c r="L29" s="4" t="s">
        <v>194</v>
      </c>
    </row>
    <row r="30" customFormat="false" ht="36" hidden="false" customHeight="true" outlineLevel="0" collapsed="false">
      <c r="A30" s="4" t="s">
        <v>195</v>
      </c>
      <c r="B30" s="4" t="s">
        <v>188</v>
      </c>
      <c r="C30" s="4" t="s">
        <v>196</v>
      </c>
      <c r="D30" s="4" t="s">
        <v>197</v>
      </c>
      <c r="E30" s="4" t="s">
        <v>16</v>
      </c>
      <c r="F30" s="4" t="s">
        <v>198</v>
      </c>
      <c r="G30" s="4" t="s">
        <v>37</v>
      </c>
      <c r="H30" s="4" t="s">
        <v>16</v>
      </c>
      <c r="I30" s="4" t="s">
        <v>43</v>
      </c>
      <c r="J30" s="4" t="s">
        <v>16</v>
      </c>
      <c r="K30" s="5" t="s">
        <v>44</v>
      </c>
      <c r="L30" s="4" t="s">
        <v>199</v>
      </c>
    </row>
    <row r="31" customFormat="false" ht="36" hidden="false" customHeight="true" outlineLevel="0" collapsed="false">
      <c r="A31" s="4" t="s">
        <v>200</v>
      </c>
      <c r="B31" s="4" t="s">
        <v>188</v>
      </c>
      <c r="C31" s="4" t="s">
        <v>201</v>
      </c>
      <c r="D31" s="4" t="s">
        <v>202</v>
      </c>
      <c r="E31" s="4" t="s">
        <v>203</v>
      </c>
      <c r="F31" s="4" t="s">
        <v>204</v>
      </c>
      <c r="G31" s="4" t="s">
        <v>37</v>
      </c>
      <c r="H31" s="4" t="s">
        <v>16</v>
      </c>
      <c r="I31" s="4" t="s">
        <v>30</v>
      </c>
      <c r="J31" s="4" t="s">
        <v>16</v>
      </c>
      <c r="K31" s="5" t="s">
        <v>44</v>
      </c>
      <c r="L31" s="4" t="s">
        <v>205</v>
      </c>
    </row>
    <row r="32" customFormat="false" ht="36" hidden="false" customHeight="true" outlineLevel="0" collapsed="false">
      <c r="A32" s="4" t="s">
        <v>206</v>
      </c>
      <c r="B32" s="4" t="s">
        <v>188</v>
      </c>
      <c r="C32" s="4" t="s">
        <v>207</v>
      </c>
      <c r="D32" s="4" t="s">
        <v>16</v>
      </c>
      <c r="E32" s="4" t="s">
        <v>16</v>
      </c>
      <c r="F32" s="4" t="s">
        <v>208</v>
      </c>
      <c r="G32" s="4" t="s">
        <v>37</v>
      </c>
      <c r="H32" s="4" t="s">
        <v>16</v>
      </c>
      <c r="I32" s="4" t="s">
        <v>20</v>
      </c>
      <c r="J32" s="4" t="s">
        <v>16</v>
      </c>
      <c r="K32" s="5" t="s">
        <v>44</v>
      </c>
      <c r="L32" s="4" t="s">
        <v>209</v>
      </c>
    </row>
    <row r="33" customFormat="false" ht="36" hidden="false" customHeight="true" outlineLevel="0" collapsed="false">
      <c r="A33" s="3" t="s">
        <v>210</v>
      </c>
      <c r="B33" s="3" t="s">
        <v>211</v>
      </c>
      <c r="C33" s="3" t="s">
        <v>212</v>
      </c>
      <c r="D33" s="3" t="s">
        <v>213</v>
      </c>
      <c r="E33" s="3" t="s">
        <v>214</v>
      </c>
      <c r="F33" s="3" t="s">
        <v>215</v>
      </c>
      <c r="G33" s="3" t="s">
        <v>216</v>
      </c>
      <c r="H33" s="3" t="s">
        <v>217</v>
      </c>
      <c r="I33" s="3" t="s">
        <v>108</v>
      </c>
      <c r="J33" s="3" t="s">
        <v>21</v>
      </c>
      <c r="K33" s="3" t="s">
        <v>22</v>
      </c>
      <c r="L33" s="3" t="s">
        <v>218</v>
      </c>
    </row>
    <row r="34" customFormat="false" ht="36" hidden="false" customHeight="true" outlineLevel="0" collapsed="false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4" t="s">
        <v>37</v>
      </c>
      <c r="H34" s="4" t="s">
        <v>16</v>
      </c>
      <c r="I34" s="4" t="s">
        <v>99</v>
      </c>
      <c r="J34" s="4" t="s">
        <v>16</v>
      </c>
      <c r="K34" s="5" t="s">
        <v>44</v>
      </c>
      <c r="L34" s="4" t="s">
        <v>225</v>
      </c>
    </row>
    <row r="35" customFormat="false" ht="36" hidden="false" customHeight="true" outlineLevel="0" collapsed="false">
      <c r="A35" s="3" t="s">
        <v>226</v>
      </c>
      <c r="B35" s="3" t="s">
        <v>13</v>
      </c>
      <c r="C35" s="3" t="s">
        <v>227</v>
      </c>
      <c r="D35" s="3" t="s">
        <v>37</v>
      </c>
      <c r="E35" s="3" t="s">
        <v>37</v>
      </c>
      <c r="F35" s="3" t="s">
        <v>37</v>
      </c>
      <c r="G35" s="3" t="s">
        <v>228</v>
      </c>
      <c r="H35" s="3" t="s">
        <v>63</v>
      </c>
      <c r="I35" s="3" t="s">
        <v>229</v>
      </c>
      <c r="J35" s="3" t="s">
        <v>21</v>
      </c>
      <c r="K35" s="3" t="s">
        <v>22</v>
      </c>
      <c r="L35" s="3" t="s">
        <v>230</v>
      </c>
    </row>
    <row r="36" customFormat="false" ht="36" hidden="false" customHeight="true" outlineLevel="0" collapsed="false">
      <c r="A36" s="4" t="s">
        <v>231</v>
      </c>
      <c r="B36" s="4" t="s">
        <v>13</v>
      </c>
      <c r="C36" s="4" t="s">
        <v>232</v>
      </c>
      <c r="D36" s="4" t="s">
        <v>37</v>
      </c>
      <c r="E36" s="4" t="s">
        <v>37</v>
      </c>
      <c r="F36" s="4" t="s">
        <v>233</v>
      </c>
      <c r="G36" s="4" t="s">
        <v>37</v>
      </c>
      <c r="H36" s="4" t="s">
        <v>16</v>
      </c>
      <c r="I36" s="4" t="s">
        <v>20</v>
      </c>
      <c r="J36" s="4" t="s">
        <v>16</v>
      </c>
      <c r="K36" s="5" t="s">
        <v>44</v>
      </c>
      <c r="L36" s="4" t="s">
        <v>234</v>
      </c>
    </row>
    <row r="37" customFormat="false" ht="36" hidden="false" customHeight="true" outlineLevel="0" collapsed="false">
      <c r="A37" s="4" t="s">
        <v>235</v>
      </c>
      <c r="B37" s="4" t="s">
        <v>13</v>
      </c>
      <c r="C37" s="4" t="s">
        <v>232</v>
      </c>
      <c r="D37" s="4" t="s">
        <v>37</v>
      </c>
      <c r="E37" s="4" t="s">
        <v>37</v>
      </c>
      <c r="F37" s="4" t="s">
        <v>236</v>
      </c>
      <c r="G37" s="4" t="s">
        <v>37</v>
      </c>
      <c r="H37" s="4" t="s">
        <v>16</v>
      </c>
      <c r="I37" s="4" t="s">
        <v>20</v>
      </c>
      <c r="J37" s="4" t="s">
        <v>16</v>
      </c>
      <c r="K37" s="5" t="s">
        <v>44</v>
      </c>
      <c r="L37" s="4" t="s">
        <v>234</v>
      </c>
    </row>
    <row r="38" customFormat="false" ht="36" hidden="false" customHeight="true" outlineLevel="0" collapsed="false">
      <c r="A38" s="2" t="s">
        <v>237</v>
      </c>
      <c r="B38" s="2" t="s">
        <v>76</v>
      </c>
      <c r="C38" s="2" t="s">
        <v>238</v>
      </c>
      <c r="D38" s="2" t="s">
        <v>37</v>
      </c>
      <c r="E38" s="2" t="s">
        <v>37</v>
      </c>
      <c r="F38" s="2" t="s">
        <v>239</v>
      </c>
      <c r="G38" s="2" t="s">
        <v>240</v>
      </c>
      <c r="H38" s="2" t="s">
        <v>73</v>
      </c>
      <c r="I38" s="2" t="s">
        <v>20</v>
      </c>
      <c r="J38" s="2" t="s">
        <v>21</v>
      </c>
      <c r="K38" s="2" t="s">
        <v>22</v>
      </c>
      <c r="L38" s="2" t="s">
        <v>241</v>
      </c>
    </row>
    <row r="39" customFormat="false" ht="36" hidden="false" customHeight="true" outlineLevel="0" collapsed="false">
      <c r="A39" s="3" t="s">
        <v>242</v>
      </c>
      <c r="B39" s="3" t="s">
        <v>243</v>
      </c>
      <c r="C39" s="3" t="s">
        <v>244</v>
      </c>
      <c r="D39" s="3" t="s">
        <v>245</v>
      </c>
      <c r="E39" s="3" t="s">
        <v>37</v>
      </c>
      <c r="F39" s="3" t="s">
        <v>246</v>
      </c>
      <c r="G39" s="3" t="s">
        <v>247</v>
      </c>
      <c r="H39" s="3" t="s">
        <v>19</v>
      </c>
      <c r="I39" s="3" t="s">
        <v>43</v>
      </c>
      <c r="J39" s="3" t="s">
        <v>21</v>
      </c>
      <c r="K39" s="3" t="s">
        <v>22</v>
      </c>
      <c r="L39" s="3" t="s">
        <v>88</v>
      </c>
    </row>
    <row r="40" customFormat="false" ht="36" hidden="false" customHeight="true" outlineLevel="0" collapsed="false">
      <c r="A40" s="2" t="s">
        <v>248</v>
      </c>
      <c r="B40" s="2" t="s">
        <v>243</v>
      </c>
      <c r="C40" s="2" t="s">
        <v>249</v>
      </c>
      <c r="D40" s="2" t="s">
        <v>250</v>
      </c>
      <c r="E40" s="2" t="s">
        <v>251</v>
      </c>
      <c r="F40" s="2" t="s">
        <v>252</v>
      </c>
      <c r="G40" s="2" t="s">
        <v>253</v>
      </c>
      <c r="H40" s="2" t="s">
        <v>254</v>
      </c>
      <c r="I40" s="2" t="s">
        <v>20</v>
      </c>
      <c r="J40" s="2" t="s">
        <v>21</v>
      </c>
      <c r="K40" s="2" t="s">
        <v>22</v>
      </c>
      <c r="L40" s="2" t="s">
        <v>255</v>
      </c>
    </row>
    <row r="41" customFormat="false" ht="36" hidden="false" customHeight="true" outlineLevel="0" collapsed="false">
      <c r="A41" s="3" t="s">
        <v>256</v>
      </c>
      <c r="B41" s="3" t="s">
        <v>69</v>
      </c>
      <c r="C41" s="3" t="s">
        <v>257</v>
      </c>
      <c r="D41" s="3" t="s">
        <v>258</v>
      </c>
      <c r="E41" s="3" t="s">
        <v>259</v>
      </c>
      <c r="F41" s="3" t="s">
        <v>260</v>
      </c>
      <c r="G41" s="3" t="s">
        <v>261</v>
      </c>
      <c r="H41" s="3" t="s">
        <v>262</v>
      </c>
      <c r="I41" s="3" t="s">
        <v>229</v>
      </c>
      <c r="J41" s="3" t="s">
        <v>21</v>
      </c>
      <c r="K41" s="3" t="s">
        <v>22</v>
      </c>
      <c r="L41" s="3" t="s">
        <v>263</v>
      </c>
    </row>
    <row r="42" customFormat="false" ht="36" hidden="false" customHeight="true" outlineLevel="0" collapsed="false">
      <c r="A42" s="2" t="s">
        <v>264</v>
      </c>
      <c r="B42" s="2" t="s">
        <v>111</v>
      </c>
      <c r="C42" s="2" t="s">
        <v>265</v>
      </c>
      <c r="D42" s="2" t="s">
        <v>266</v>
      </c>
      <c r="E42" s="2" t="s">
        <v>267</v>
      </c>
      <c r="F42" s="2" t="s">
        <v>37</v>
      </c>
      <c r="G42" s="2" t="s">
        <v>268</v>
      </c>
      <c r="H42" s="2" t="s">
        <v>63</v>
      </c>
      <c r="I42" s="2" t="s">
        <v>20</v>
      </c>
      <c r="J42" s="2" t="s">
        <v>21</v>
      </c>
      <c r="K42" s="2" t="s">
        <v>22</v>
      </c>
      <c r="L42" s="2" t="s">
        <v>269</v>
      </c>
    </row>
    <row r="43" customFormat="false" ht="36" hidden="false" customHeight="true" outlineLevel="0" collapsed="false">
      <c r="A43" s="4" t="s">
        <v>270</v>
      </c>
      <c r="B43" s="4" t="s">
        <v>82</v>
      </c>
      <c r="C43" s="4" t="s">
        <v>271</v>
      </c>
      <c r="D43" s="4" t="s">
        <v>272</v>
      </c>
      <c r="E43" s="4" t="s">
        <v>273</v>
      </c>
      <c r="F43" s="4" t="s">
        <v>274</v>
      </c>
      <c r="G43" s="4" t="s">
        <v>37</v>
      </c>
      <c r="H43" s="4" t="s">
        <v>16</v>
      </c>
      <c r="I43" s="4" t="s">
        <v>20</v>
      </c>
      <c r="J43" s="4" t="s">
        <v>16</v>
      </c>
      <c r="K43" s="5" t="s">
        <v>44</v>
      </c>
      <c r="L43" s="4" t="s">
        <v>275</v>
      </c>
    </row>
    <row r="44" customFormat="false" ht="36" hidden="false" customHeight="true" outlineLevel="0" collapsed="false">
      <c r="A44" s="4" t="s">
        <v>276</v>
      </c>
      <c r="B44" s="4" t="s">
        <v>82</v>
      </c>
      <c r="C44" s="4" t="s">
        <v>271</v>
      </c>
      <c r="D44" s="4" t="s">
        <v>37</v>
      </c>
      <c r="E44" s="4" t="s">
        <v>277</v>
      </c>
      <c r="F44" s="4" t="s">
        <v>278</v>
      </c>
      <c r="G44" s="4" t="s">
        <v>37</v>
      </c>
      <c r="H44" s="4" t="s">
        <v>16</v>
      </c>
      <c r="I44" s="4" t="s">
        <v>43</v>
      </c>
      <c r="J44" s="4" t="s">
        <v>16</v>
      </c>
      <c r="K44" s="5" t="s">
        <v>44</v>
      </c>
      <c r="L44" s="4" t="s">
        <v>279</v>
      </c>
    </row>
    <row r="45" customFormat="false" ht="36" hidden="false" customHeight="true" outlineLevel="0" collapsed="false">
      <c r="A45" s="4" t="s">
        <v>280</v>
      </c>
      <c r="B45" s="4" t="s">
        <v>82</v>
      </c>
      <c r="C45" s="4" t="s">
        <v>271</v>
      </c>
      <c r="D45" s="4" t="s">
        <v>281</v>
      </c>
      <c r="E45" s="4" t="s">
        <v>282</v>
      </c>
      <c r="F45" s="4" t="s">
        <v>283</v>
      </c>
      <c r="G45" s="4" t="s">
        <v>37</v>
      </c>
      <c r="H45" s="4" t="s">
        <v>16</v>
      </c>
      <c r="I45" s="4" t="s">
        <v>30</v>
      </c>
      <c r="J45" s="4" t="s">
        <v>16</v>
      </c>
      <c r="K45" s="5" t="s">
        <v>44</v>
      </c>
      <c r="L45" s="4" t="s">
        <v>284</v>
      </c>
    </row>
    <row r="46" customFormat="false" ht="36" hidden="false" customHeight="true" outlineLevel="0" collapsed="false">
      <c r="A46" s="4" t="s">
        <v>285</v>
      </c>
      <c r="B46" s="4" t="s">
        <v>111</v>
      </c>
      <c r="C46" s="4" t="s">
        <v>286</v>
      </c>
      <c r="D46" s="4" t="s">
        <v>37</v>
      </c>
      <c r="E46" s="4" t="s">
        <v>37</v>
      </c>
      <c r="F46" s="4" t="s">
        <v>287</v>
      </c>
      <c r="G46" s="4" t="s">
        <v>288</v>
      </c>
      <c r="H46" s="4" t="s">
        <v>16</v>
      </c>
      <c r="I46" s="4" t="s">
        <v>43</v>
      </c>
      <c r="J46" s="4" t="s">
        <v>16</v>
      </c>
      <c r="K46" s="5" t="s">
        <v>44</v>
      </c>
      <c r="L46" s="4" t="s">
        <v>289</v>
      </c>
    </row>
    <row r="47" customFormat="false" ht="36" hidden="false" customHeight="true" outlineLevel="0" collapsed="false">
      <c r="A47" s="4" t="s">
        <v>290</v>
      </c>
      <c r="B47" s="4" t="s">
        <v>120</v>
      </c>
      <c r="C47" s="4" t="s">
        <v>291</v>
      </c>
      <c r="D47" s="4" t="s">
        <v>292</v>
      </c>
      <c r="E47" s="4" t="s">
        <v>293</v>
      </c>
      <c r="F47" s="4" t="s">
        <v>294</v>
      </c>
      <c r="G47" s="4" t="s">
        <v>37</v>
      </c>
      <c r="H47" s="4" t="s">
        <v>16</v>
      </c>
      <c r="I47" s="4" t="s">
        <v>30</v>
      </c>
      <c r="J47" s="4" t="s">
        <v>16</v>
      </c>
      <c r="K47" s="5" t="s">
        <v>44</v>
      </c>
      <c r="L47" s="4" t="s">
        <v>295</v>
      </c>
    </row>
    <row r="48" customFormat="false" ht="36" hidden="false" customHeight="true" outlineLevel="0" collapsed="false">
      <c r="A48" s="2" t="s">
        <v>296</v>
      </c>
      <c r="B48" s="2" t="s">
        <v>170</v>
      </c>
      <c r="C48" s="2" t="s">
        <v>297</v>
      </c>
      <c r="D48" s="2" t="s">
        <v>298</v>
      </c>
      <c r="E48" s="2" t="s">
        <v>37</v>
      </c>
      <c r="F48" s="2" t="s">
        <v>299</v>
      </c>
      <c r="G48" s="2" t="s">
        <v>300</v>
      </c>
      <c r="H48" s="2" t="s">
        <v>301</v>
      </c>
      <c r="I48" s="2" t="s">
        <v>20</v>
      </c>
      <c r="J48" s="2" t="s">
        <v>21</v>
      </c>
      <c r="K48" s="2" t="s">
        <v>22</v>
      </c>
      <c r="L48" s="2" t="s">
        <v>302</v>
      </c>
    </row>
    <row r="49" customFormat="false" ht="36" hidden="false" customHeight="true" outlineLevel="0" collapsed="false">
      <c r="A49" s="4" t="s">
        <v>303</v>
      </c>
      <c r="B49" s="4" t="s">
        <v>188</v>
      </c>
      <c r="C49" s="4" t="s">
        <v>304</v>
      </c>
      <c r="D49" s="4" t="s">
        <v>305</v>
      </c>
      <c r="E49" s="4" t="s">
        <v>306</v>
      </c>
      <c r="F49" s="4" t="s">
        <v>307</v>
      </c>
      <c r="G49" s="4" t="s">
        <v>37</v>
      </c>
      <c r="H49" s="4" t="s">
        <v>16</v>
      </c>
      <c r="I49" s="4" t="s">
        <v>43</v>
      </c>
      <c r="J49" s="4" t="s">
        <v>16</v>
      </c>
      <c r="K49" s="5" t="s">
        <v>44</v>
      </c>
      <c r="L49" s="4" t="s">
        <v>284</v>
      </c>
    </row>
    <row r="50" customFormat="false" ht="36" hidden="false" customHeight="true" outlineLevel="0" collapsed="false">
      <c r="A50" s="4" t="s">
        <v>308</v>
      </c>
      <c r="B50" s="4" t="s">
        <v>309</v>
      </c>
      <c r="C50" s="4" t="s">
        <v>310</v>
      </c>
      <c r="D50" s="4" t="s">
        <v>311</v>
      </c>
      <c r="E50" s="4" t="s">
        <v>37</v>
      </c>
      <c r="F50" s="4" t="s">
        <v>37</v>
      </c>
      <c r="G50" s="4" t="s">
        <v>37</v>
      </c>
      <c r="H50" s="4" t="s">
        <v>16</v>
      </c>
      <c r="I50" s="4" t="s">
        <v>229</v>
      </c>
      <c r="J50" s="4" t="s">
        <v>16</v>
      </c>
      <c r="K50" s="5" t="s">
        <v>44</v>
      </c>
      <c r="L50" s="4" t="s">
        <v>312</v>
      </c>
    </row>
    <row r="51" customFormat="false" ht="36" hidden="false" customHeight="true" outlineLevel="0" collapsed="false">
      <c r="A51" s="4" t="s">
        <v>313</v>
      </c>
      <c r="B51" s="4" t="s">
        <v>309</v>
      </c>
      <c r="C51" s="4" t="s">
        <v>314</v>
      </c>
      <c r="D51" s="4" t="s">
        <v>315</v>
      </c>
      <c r="E51" s="4" t="s">
        <v>37</v>
      </c>
      <c r="F51" s="4" t="s">
        <v>37</v>
      </c>
      <c r="G51" s="4" t="s">
        <v>37</v>
      </c>
      <c r="H51" s="4" t="s">
        <v>16</v>
      </c>
      <c r="I51" s="4" t="s">
        <v>229</v>
      </c>
      <c r="J51" s="4" t="s">
        <v>16</v>
      </c>
      <c r="K51" s="5" t="s">
        <v>44</v>
      </c>
      <c r="L51" s="4" t="s">
        <v>316</v>
      </c>
    </row>
    <row r="52" customFormat="false" ht="36" hidden="false" customHeight="true" outlineLevel="0" collapsed="false">
      <c r="A52" s="4" t="s">
        <v>317</v>
      </c>
      <c r="B52" s="4" t="s">
        <v>211</v>
      </c>
      <c r="C52" s="4" t="s">
        <v>318</v>
      </c>
      <c r="D52" s="4" t="s">
        <v>37</v>
      </c>
      <c r="E52" s="4" t="s">
        <v>37</v>
      </c>
      <c r="F52" s="4" t="s">
        <v>37</v>
      </c>
      <c r="G52" s="4" t="s">
        <v>37</v>
      </c>
      <c r="H52" s="4" t="s">
        <v>16</v>
      </c>
      <c r="I52" s="4" t="s">
        <v>20</v>
      </c>
      <c r="J52" s="4" t="s">
        <v>16</v>
      </c>
      <c r="K52" s="5" t="s">
        <v>44</v>
      </c>
      <c r="L52" s="4" t="s">
        <v>319</v>
      </c>
    </row>
    <row r="53" customFormat="false" ht="36" hidden="false" customHeight="true" outlineLevel="0" collapsed="false">
      <c r="A53" s="4" t="s">
        <v>320</v>
      </c>
      <c r="B53" s="4" t="s">
        <v>321</v>
      </c>
      <c r="C53" s="4" t="s">
        <v>322</v>
      </c>
      <c r="D53" s="4" t="s">
        <v>323</v>
      </c>
      <c r="E53" s="4" t="s">
        <v>37</v>
      </c>
      <c r="F53" s="4" t="s">
        <v>37</v>
      </c>
      <c r="G53" s="4" t="s">
        <v>37</v>
      </c>
      <c r="H53" s="4" t="s">
        <v>16</v>
      </c>
      <c r="I53" s="4" t="s">
        <v>324</v>
      </c>
      <c r="J53" s="4" t="s">
        <v>16</v>
      </c>
      <c r="K53" s="5" t="s">
        <v>44</v>
      </c>
      <c r="L53" s="4" t="s">
        <v>325</v>
      </c>
    </row>
    <row r="54" customFormat="false" ht="36" hidden="false" customHeight="true" outlineLevel="0" collapsed="false">
      <c r="A54" s="4" t="s">
        <v>326</v>
      </c>
      <c r="B54" s="4" t="s">
        <v>327</v>
      </c>
      <c r="C54" s="4" t="s">
        <v>328</v>
      </c>
      <c r="D54" s="4" t="s">
        <v>329</v>
      </c>
      <c r="E54" s="4" t="s">
        <v>37</v>
      </c>
      <c r="F54" s="4" t="s">
        <v>37</v>
      </c>
      <c r="G54" s="4" t="s">
        <v>37</v>
      </c>
      <c r="H54" s="4" t="s">
        <v>16</v>
      </c>
      <c r="I54" s="4" t="s">
        <v>324</v>
      </c>
      <c r="J54" s="4" t="s">
        <v>16</v>
      </c>
      <c r="K54" s="5" t="s">
        <v>44</v>
      </c>
      <c r="L54" s="4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6" t="s">
        <v>330</v>
      </c>
    </row>
    <row r="2" customFormat="false" ht="15" hidden="false" customHeight="false" outlineLevel="0" collapsed="false">
      <c r="A2" s="7" t="s">
        <v>331</v>
      </c>
      <c r="B2" s="8" t="s">
        <v>332</v>
      </c>
    </row>
    <row r="3" customFormat="false" ht="15" hidden="false" customHeight="false" outlineLevel="0" collapsed="false">
      <c r="A3" s="7" t="s">
        <v>333</v>
      </c>
      <c r="B3" s="8" t="s">
        <v>334</v>
      </c>
    </row>
    <row r="4" customFormat="false" ht="15" hidden="false" customHeight="false" outlineLevel="0" collapsed="false">
      <c r="B4" s="8"/>
    </row>
    <row r="5" customFormat="false" ht="15" hidden="false" customHeight="false" outlineLevel="0" collapsed="false">
      <c r="A5" s="6" t="s">
        <v>335</v>
      </c>
    </row>
    <row r="6" customFormat="false" ht="15" hidden="false" customHeight="false" outlineLevel="0" collapsed="false">
      <c r="A6" s="7" t="s">
        <v>336</v>
      </c>
      <c r="B6" s="8" t="s">
        <v>337</v>
      </c>
    </row>
    <row r="7" customFormat="false" ht="15" hidden="false" customHeight="false" outlineLevel="0" collapsed="false">
      <c r="B7" s="8" t="s">
        <v>338</v>
      </c>
    </row>
    <row r="8" customFormat="false" ht="15" hidden="false" customHeight="false" outlineLevel="0" collapsed="false">
      <c r="B8" s="8" t="s">
        <v>339</v>
      </c>
    </row>
    <row r="9" customFormat="false" ht="15" hidden="false" customHeight="false" outlineLevel="0" collapsed="false">
      <c r="B9" s="8"/>
    </row>
    <row r="10" customFormat="false" ht="15" hidden="false" customHeight="false" outlineLevel="0" collapsed="false">
      <c r="A10" s="7" t="s">
        <v>340</v>
      </c>
      <c r="B10" s="8" t="s">
        <v>341</v>
      </c>
    </row>
    <row r="11" customFormat="false" ht="15" hidden="false" customHeight="false" outlineLevel="0" collapsed="false">
      <c r="B11" s="8"/>
    </row>
    <row r="12" customFormat="false" ht="15" hidden="false" customHeight="false" outlineLevel="0" collapsed="false">
      <c r="A12" s="7" t="s">
        <v>342</v>
      </c>
      <c r="B12" s="8" t="s">
        <v>343</v>
      </c>
    </row>
    <row r="13" customFormat="false" ht="15" hidden="false" customHeight="false" outlineLevel="0" collapsed="false">
      <c r="B13" s="8" t="s">
        <v>344</v>
      </c>
    </row>
    <row r="14" customFormat="false" ht="15" hidden="false" customHeight="false" outlineLevel="0" collapsed="false">
      <c r="B14" s="8"/>
    </row>
    <row r="15" customFormat="false" ht="15" hidden="false" customHeight="false" outlineLevel="0" collapsed="false">
      <c r="A15" s="7" t="s">
        <v>345</v>
      </c>
      <c r="B15" s="8" t="s">
        <v>346</v>
      </c>
    </row>
    <row r="16" customFormat="false" ht="15" hidden="false" customHeight="false" outlineLevel="0" collapsed="false">
      <c r="B16" s="8" t="s">
        <v>347</v>
      </c>
    </row>
    <row r="17" customFormat="false" ht="15" hidden="false" customHeight="false" outlineLevel="0" collapsed="false">
      <c r="B17" s="8" t="s">
        <v>348</v>
      </c>
    </row>
    <row r="18" customFormat="false" ht="15" hidden="false" customHeight="false" outlineLevel="0" collapsed="false">
      <c r="B18" s="8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2"/>
  </cols>
  <sheetData>
    <row r="1" customFormat="false" ht="26.85" hidden="false" customHeight="false" outlineLevel="0" collapsed="false">
      <c r="A1" s="1" t="s">
        <v>1</v>
      </c>
      <c r="B1" s="1" t="s">
        <v>350</v>
      </c>
      <c r="C1" s="1" t="s">
        <v>351</v>
      </c>
    </row>
    <row r="2" customFormat="false" ht="15" hidden="false" customHeight="false" outlineLevel="0" collapsed="false">
      <c r="A2" s="9" t="s">
        <v>111</v>
      </c>
      <c r="B2" s="10" t="n">
        <v>11</v>
      </c>
      <c r="C2" s="11" t="n">
        <v>8</v>
      </c>
    </row>
    <row r="3" customFormat="false" ht="15" hidden="false" customHeight="false" outlineLevel="0" collapsed="false">
      <c r="A3" s="9" t="s">
        <v>13</v>
      </c>
      <c r="B3" s="10" t="n">
        <v>7</v>
      </c>
      <c r="C3" s="11" t="n">
        <v>3</v>
      </c>
    </row>
    <row r="4" customFormat="false" ht="15" hidden="false" customHeight="false" outlineLevel="0" collapsed="false">
      <c r="A4" s="9" t="s">
        <v>139</v>
      </c>
      <c r="B4" s="10" t="n">
        <v>3</v>
      </c>
      <c r="C4" s="11" t="n">
        <v>2</v>
      </c>
    </row>
    <row r="5" customFormat="false" ht="15" hidden="false" customHeight="false" outlineLevel="0" collapsed="false">
      <c r="A5" s="9" t="s">
        <v>211</v>
      </c>
      <c r="B5" s="10" t="n">
        <v>3</v>
      </c>
      <c r="C5" s="11" t="n">
        <v>2</v>
      </c>
    </row>
    <row r="6" customFormat="false" ht="15" hidden="false" customHeight="false" outlineLevel="0" collapsed="false">
      <c r="A6" s="9" t="s">
        <v>47</v>
      </c>
      <c r="B6" s="10" t="n">
        <v>10</v>
      </c>
      <c r="C6" s="11" t="n">
        <v>4</v>
      </c>
    </row>
    <row r="7" customFormat="false" ht="15" hidden="false" customHeight="false" outlineLevel="0" collapsed="false">
      <c r="A7" s="9" t="s">
        <v>188</v>
      </c>
      <c r="B7" s="10" t="n">
        <v>9</v>
      </c>
      <c r="C7" s="11" t="n">
        <v>9</v>
      </c>
    </row>
    <row r="8" customFormat="false" ht="15" hidden="false" customHeight="false" outlineLevel="0" collapsed="false">
      <c r="A8" s="9" t="s">
        <v>120</v>
      </c>
      <c r="B8" s="10" t="n">
        <v>4</v>
      </c>
      <c r="C8" s="11" t="n">
        <v>3</v>
      </c>
    </row>
    <row r="9" customFormat="false" ht="15" hidden="false" customHeight="false" outlineLevel="0" collapsed="false">
      <c r="A9" s="9" t="s">
        <v>158</v>
      </c>
      <c r="B9" s="10" t="n">
        <v>2</v>
      </c>
      <c r="C9" s="11" t="n">
        <v>2</v>
      </c>
    </row>
    <row r="10" customFormat="false" ht="15" hidden="false" customHeight="false" outlineLevel="0" collapsed="false">
      <c r="A10" s="9" t="s">
        <v>170</v>
      </c>
      <c r="B10" s="10" t="n">
        <v>4</v>
      </c>
      <c r="C10" s="11" t="n">
        <v>2</v>
      </c>
    </row>
    <row r="11" customFormat="false" ht="15" hidden="false" customHeight="false" outlineLevel="0" collapsed="false">
      <c r="A11" s="12" t="s">
        <v>352</v>
      </c>
      <c r="B11" s="13" t="n">
        <f aca="false">SUM(B2:B10)</f>
        <v>53</v>
      </c>
      <c r="C11" s="13" t="n">
        <f aca="false">SUM(C2:C10)</f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2026-03-09T20:36:04Z</dcterms:created>
  <dc:creator>openpyxl</dc:creator>
  <dc:description/>
  <dc:language>en-US</dc:language>
  <cp:lastModifiedBy/>
  <dcterms:modified xsi:type="dcterms:W3CDTF">2026-03-09T20:36:04Z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